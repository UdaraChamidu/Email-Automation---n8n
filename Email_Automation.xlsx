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Dashboard (1)" sheetId="2" r:id="rId6"/>
    <sheet state="hidden" name="ChartData" sheetId="3" r:id="rId7"/>
  </sheets>
  <definedNames/>
  <calcPr/>
</workbook>
</file>

<file path=xl/sharedStrings.xml><?xml version="1.0" encoding="utf-8"?>
<sst xmlns="http://schemas.openxmlformats.org/spreadsheetml/2006/main" count="99" uniqueCount="90">
  <si>
    <t>ticket_id</t>
  </si>
  <si>
    <t>thread_id</t>
  </si>
  <si>
    <t>recieved_date</t>
  </si>
  <si>
    <t>recieved_time</t>
  </si>
  <si>
    <t>customer_email</t>
  </si>
  <si>
    <t>customer_name</t>
  </si>
  <si>
    <t>subject</t>
  </si>
  <si>
    <t>clean_body</t>
  </si>
  <si>
    <t>ai_reply</t>
  </si>
  <si>
    <t>category</t>
  </si>
  <si>
    <t>priority</t>
  </si>
  <si>
    <t>sentiment</t>
  </si>
  <si>
    <t>confidence_score</t>
  </si>
  <si>
    <t>requires_human</t>
  </si>
  <si>
    <t>draft_created_time</t>
  </si>
  <si>
    <t>response_status</t>
  </si>
  <si>
    <t>replied_time</t>
  </si>
  <si>
    <t>response_time_duration</t>
  </si>
  <si>
    <t>TKT-1778681436146</t>
  </si>
  <si>
    <t>19e1fee7af5c852e</t>
  </si>
  <si>
    <t>05/13/2026</t>
  </si>
  <si>
    <t>udarafiverr01@gmail.com</t>
  </si>
  <si>
    <t>udara herath</t>
  </si>
  <si>
    <t>hi</t>
  </si>
  <si>
    <t>Hello Udara Herath,
Thank you for reaching out to us. How may we assist you today? Please provide us with more details so that we can better serve your needs.
Best Regards,
ABC Company</t>
  </si>
  <si>
    <t>OTHER</t>
  </si>
  <si>
    <t>LOW</t>
  </si>
  <si>
    <t>NEUTRAL</t>
  </si>
  <si>
    <t>REPLIED</t>
  </si>
  <si>
    <t>5m</t>
  </si>
  <si>
    <t>Automatic Email Analytics Dashboard</t>
  </si>
  <si>
    <t>Select Time Period:</t>
  </si>
  <si>
    <t>This Week</t>
  </si>
  <si>
    <t>Updates charts &amp; KPIs automatically</t>
  </si>
  <si>
    <t>Total Emails</t>
  </si>
  <si>
    <t>Total Spam</t>
  </si>
  <si>
    <t>Requires Human</t>
  </si>
  <si>
    <t>Distribution of Urgency based on selected time period.</t>
  </si>
  <si>
    <t>Ticket categorization based on selected time period.</t>
  </si>
  <si>
    <t>Emotional tone of customers based on selected time.</t>
  </si>
  <si>
    <t>Fixed 30-day view of incoming email volume.</t>
  </si>
  <si>
    <t>Priority</t>
  </si>
  <si>
    <t>Count</t>
  </si>
  <si>
    <t>Category</t>
  </si>
  <si>
    <t>Sentiment</t>
  </si>
  <si>
    <t>Selected:</t>
  </si>
  <si>
    <t>Date</t>
  </si>
  <si>
    <t>Start Date:</t>
  </si>
  <si>
    <t>2026-04-11</t>
  </si>
  <si>
    <t>MEDIUM</t>
  </si>
  <si>
    <t>SPAM_DO_NOT_RESPOND</t>
  </si>
  <si>
    <t>ANGRY</t>
  </si>
  <si>
    <t>End Date:</t>
  </si>
  <si>
    <t>2026-04-12</t>
  </si>
  <si>
    <t>UNKNOWN</t>
  </si>
  <si>
    <t>LOYALTY_POINTS</t>
  </si>
  <si>
    <t>HAPPY</t>
  </si>
  <si>
    <t>2026-04-13</t>
  </si>
  <si>
    <t>HIGH</t>
  </si>
  <si>
    <t>PRODUCT_QUESTION</t>
  </si>
  <si>
    <t>2026-04-14</t>
  </si>
  <si>
    <t>CUSTOMER_COMPLAINT</t>
  </si>
  <si>
    <t>2026-04-15</t>
  </si>
  <si>
    <t>CUSTOMER_SATISFACTION</t>
  </si>
  <si>
    <t>2026-04-16</t>
  </si>
  <si>
    <t>Avg Confidence</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</si>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</sst>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hh:mm:ss"/>
    <numFmt numFmtId="165" formatCode="yyyy-mm-dd hh:mm:ss"/>
    <numFmt numFmtId="166" formatCode="yyyy\-mm\-dd"/>
    <numFmt numFmtId="167" formatCode="yyyy-mm-dd"/>
    <numFmt numFmtId="168" formatCode="D/M/YYYY"/>
  </numFmts>
  <fonts count="12">
    <font>
      <sz val="10.0"/>
      <color rgb="FF000000"/>
      <name val="Calibri"/>
      <scheme val="minor"/>
    </font>
    <font>
      <b/>
      <sz val="10.0"/>
      <color theme="1"/>
      <name val="Calibri"/>
    </font>
    <font>
      <b/>
      <sz val="9.0"/>
      <color rgb="FF2B2B2B"/>
      <name val="Arial"/>
    </font>
    <font>
      <b/>
      <color theme="1"/>
      <name val="Calibri"/>
      <scheme val="minor"/>
    </font>
    <font>
      <sz val="10.0"/>
      <color theme="1"/>
      <name val="Calibri"/>
    </font>
    <font>
      <color theme="1"/>
      <name val="Calibri"/>
      <scheme val="minor"/>
    </font>
    <font>
      <b/>
      <sz val="29.0"/>
      <color rgb="FF2C3E50"/>
      <name val="Calibri"/>
    </font>
    <font>
      <b/>
      <sz val="12.0"/>
      <color rgb="FF7F8C8D"/>
      <name val="Calibri"/>
    </font>
    <font>
      <b/>
      <sz val="12.0"/>
      <color theme="1"/>
      <name val="Calibri"/>
    </font>
    <font>
      <b/>
      <i/>
      <sz val="10.0"/>
      <color rgb="FF7F8C8D"/>
      <name val="Calibri"/>
    </font>
    <font>
      <b/>
      <sz val="28.0"/>
      <color rgb="FF2980B9"/>
      <name val="Calibri"/>
    </font>
    <font>
      <i/>
      <sz val="10.0"/>
      <color rgb="FF7F8C8D"/>
      <name val="Calibri"/>
    </font>
  </fonts>
  <fills count="6">
    <fill>
      <patternFill patternType="none"/>
    </fill>
    <fill>
      <patternFill patternType="lightGray"/>
    </fill>
    <fill>
      <patternFill patternType="solid">
        <fgColor rgb="FFF5F5F5"/>
        <bgColor rgb="FFF5F5F5"/>
      </patternFill>
    </fill>
    <fill>
      <patternFill patternType="solid">
        <fgColor rgb="FFD6EAF8"/>
        <bgColor rgb="FFD6EAF8"/>
      </patternFill>
    </fill>
    <fill>
      <patternFill patternType="solid">
        <fgColor rgb="FFF8F9F9"/>
        <bgColor rgb="FFF8F9F9"/>
      </patternFill>
    </fill>
    <fill>
      <patternFill patternType="solid">
        <fgColor rgb="FFFFFFFF"/>
        <bgColor rgb="FFFFFFFF"/>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FFE0E0E0"/>
      </left>
      <right style="thin">
        <color rgb="FFE0E0E0"/>
      </right>
      <top style="thin">
        <color rgb="FFE0E0E0"/>
      </top>
      <bottom style="thin">
        <color rgb="FFE0E0E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readingOrder="0"/>
    </xf>
    <xf borderId="0" fillId="0" fontId="3" numFmtId="0" xfId="0" applyAlignment="1" applyFont="1">
      <alignment readingOrder="0"/>
    </xf>
    <xf borderId="0" fillId="0" fontId="1" numFmtId="0" xfId="0" applyFont="1"/>
    <xf borderId="0" fillId="0" fontId="4" numFmtId="0" xfId="0" applyAlignment="1" applyFont="1">
      <alignment readingOrder="0"/>
    </xf>
    <xf borderId="0" fillId="0" fontId="5" numFmtId="164" xfId="0" applyAlignment="1" applyFont="1" applyNumberFormat="1">
      <alignment readingOrder="0"/>
    </xf>
    <xf borderId="0" fillId="0" fontId="4" numFmtId="0" xfId="0" applyFont="1"/>
    <xf borderId="0" fillId="0" fontId="4" numFmtId="0" xfId="0" applyAlignment="1" applyFont="1">
      <alignment readingOrder="0"/>
    </xf>
    <xf borderId="0" fillId="0" fontId="4" numFmtId="165" xfId="0" applyAlignment="1" applyFont="1" applyNumberFormat="1">
      <alignment readingOrder="0"/>
    </xf>
    <xf borderId="0" fillId="0" fontId="5" numFmtId="0" xfId="0" applyAlignment="1" applyFont="1">
      <alignment readingOrder="0"/>
    </xf>
    <xf borderId="0" fillId="0" fontId="5" numFmtId="165" xfId="0" applyAlignment="1" applyFont="1" applyNumberFormat="1">
      <alignment readingOrder="0"/>
    </xf>
    <xf borderId="0" fillId="0" fontId="4" numFmtId="166" xfId="0" applyFont="1" applyNumberFormat="1"/>
    <xf borderId="0" fillId="0" fontId="4" numFmtId="164" xfId="0" applyFont="1" applyNumberFormat="1"/>
    <xf borderId="0" fillId="0" fontId="5" numFmtId="167" xfId="0" applyAlignment="1" applyFont="1" applyNumberFormat="1">
      <alignment readingOrder="0"/>
    </xf>
    <xf borderId="0" fillId="0" fontId="5" numFmtId="0" xfId="0" applyAlignment="1" applyFont="1">
      <alignment readingOrder="0"/>
    </xf>
    <xf borderId="0" fillId="0" fontId="6" numFmtId="0" xfId="0" applyAlignment="1" applyFont="1">
      <alignment readingOrder="0" vertical="center"/>
    </xf>
    <xf borderId="0" fillId="0" fontId="7" numFmtId="0" xfId="0" applyAlignment="1" applyFont="1">
      <alignment horizontal="center" vertical="center"/>
    </xf>
    <xf borderId="2" fillId="3" fontId="8" numFmtId="0" xfId="0" applyAlignment="1" applyBorder="1" applyFill="1" applyFont="1">
      <alignment readingOrder="0"/>
    </xf>
    <xf borderId="0" fillId="0" fontId="9" numFmtId="0" xfId="0" applyFont="1"/>
    <xf borderId="3" fillId="4" fontId="10" numFmtId="0" xfId="0" applyAlignment="1" applyBorder="1" applyFill="1" applyFont="1">
      <alignment horizontal="center" vertical="center"/>
    </xf>
    <xf borderId="3" fillId="5" fontId="10" numFmtId="0" xfId="0" applyAlignment="1" applyBorder="1" applyFill="1" applyFont="1">
      <alignment horizontal="center" vertical="center"/>
    </xf>
    <xf borderId="0" fillId="0" fontId="11" numFmtId="0" xfId="0" applyFont="1"/>
    <xf borderId="0" fillId="0" fontId="4"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Tickets by Priority</a:t>
            </a:r>
          </a:p>
        </c:rich>
      </c:tx>
      <c:overlay val="0"/>
    </c:title>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1"/>
            <c:showBubbleSize val="0"/>
            <c:showLeaderLines val="1"/>
          </c:dLbls>
          <c:cat>
            <c:strRef>
              <c:f>ChartData!$A$2:$A$5</c:f>
            </c:strRef>
          </c:cat>
          <c:val>
            <c:numRef>
              <c:f>ChartData!$B$2:$B$5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Tickets by Category</a:t>
            </a:r>
          </a:p>
        </c:rich>
      </c:tx>
      <c:overlay val="0"/>
    </c:title>
    <c:plotArea>
      <c:layout/>
      <c:barChart>
        <c:barDir val="col"/>
        <c:ser>
          <c:idx val="0"/>
          <c:order val="0"/>
          <c:tx>
            <c:v>Category</c:v>
          </c:tx>
          <c:spPr>
            <a:solidFill>
              <a:schemeClr val="accent1"/>
            </a:solidFill>
            <a:ln cmpd="sng">
              <a:solidFill>
                <a:srgbClr val="000000"/>
              </a:solidFill>
            </a:ln>
          </c:spPr>
          <c:cat>
            <c:strRef>
              <c:f>ChartData!$D$2:$D$7</c:f>
            </c:strRef>
          </c:cat>
          <c:val>
            <c:numRef>
              <c:f>ChartData!$E$2:$E$7</c:f>
              <c:numCache/>
            </c:numRef>
          </c:val>
        </c:ser>
        <c:axId val="699363156"/>
        <c:axId val="1888234404"/>
      </c:barChart>
      <c:catAx>
        <c:axId val="69936315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88234404"/>
      </c:catAx>
      <c:valAx>
        <c:axId val="1888234404"/>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99363156"/>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Sentiment Analysis</a:t>
            </a:r>
          </a:p>
        </c:rich>
      </c:tx>
      <c:overlay val="0"/>
    </c:title>
    <c:plotArea>
      <c:layout/>
      <c:doughnut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ChartData!$G$2:$G$4</c:f>
            </c:strRef>
          </c:cat>
          <c:val>
            <c:numRef>
              <c:f>ChartData!$H$2:$H$4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Ticket Volume (Last 30 Days)</a:t>
            </a:r>
          </a:p>
        </c:rich>
      </c:tx>
      <c:overlay val="0"/>
    </c:title>
    <c:plotArea>
      <c:layout/>
      <c:lineChart>
        <c:varyColors val="0"/>
        <c:ser>
          <c:idx val="0"/>
          <c:order val="0"/>
          <c:tx>
            <c:v>Volume</c:v>
          </c:tx>
          <c:spPr>
            <a:ln cmpd="sng">
              <a:solidFill>
                <a:srgbClr val="4F81BD"/>
              </a:solidFill>
            </a:ln>
          </c:spPr>
          <c:marker>
            <c:symbol val="none"/>
          </c:marker>
          <c:cat>
            <c:strRef>
              <c:f>ChartData!$N$2:$N$31</c:f>
            </c:strRef>
          </c:cat>
          <c:val>
            <c:numRef>
              <c:f>ChartData!$O$2:$O$31</c:f>
              <c:numCache/>
            </c:numRef>
          </c:val>
          <c:smooth val="0"/>
        </c:ser>
        <c:axId val="710767040"/>
        <c:axId val="576425335"/>
      </c:lineChart>
      <c:catAx>
        <c:axId val="71076704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576425335"/>
      </c:catAx>
      <c:valAx>
        <c:axId val="576425335"/>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10767040"/>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171450</xdr:rowOff>
    </xdr:from>
    <xdr:ext cx="4210050" cy="3162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0</xdr:colOff>
      <xdr:row>8</xdr:row>
      <xdr:rowOff>0</xdr:rowOff>
    </xdr:from>
    <xdr:ext cx="5476875" cy="31623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1047750</xdr:colOff>
      <xdr:row>24</xdr:row>
      <xdr:rowOff>85725</xdr:rowOff>
    </xdr:from>
    <xdr:ext cx="4210050" cy="3162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0</xdr:colOff>
      <xdr:row>23</xdr:row>
      <xdr:rowOff>0</xdr:rowOff>
    </xdr:from>
    <xdr:ext cx="5476875" cy="316230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6.29"/>
    <col customWidth="1" min="2" max="2" width="20.43"/>
    <col customWidth="1" min="3" max="3" width="12.71"/>
    <col customWidth="1" min="4" max="4" width="12.29"/>
    <col customWidth="1" min="5" max="5" width="20.71"/>
    <col customWidth="1" min="6" max="6" width="14.43"/>
    <col customWidth="1" min="7" max="7" width="11.29"/>
    <col customWidth="1" min="8" max="9" width="18.57"/>
    <col customWidth="1" min="10" max="10" width="13.29"/>
    <col customWidth="1" min="11" max="11" width="10.71"/>
    <col customWidth="1" min="12" max="12" width="10.29"/>
    <col customWidth="1" min="15" max="15" width="29.0"/>
    <col customWidth="1" min="18" max="18" width="27.43"/>
    <col customWidth="1" min="19" max="19" width="25.43"/>
  </cols>
  <sheetData>
    <row r="1"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3" t="s">
        <v>15</v>
      </c>
      <c r="Q1" s="3" t="s">
        <v>16</v>
      </c>
      <c r="R1" s="3" t="s">
        <v>17</v>
      </c>
      <c r="S1" s="3"/>
      <c r="T1" s="1"/>
      <c r="U1" s="1"/>
      <c r="V1" s="4"/>
      <c r="W1" s="4"/>
      <c r="X1" s="4"/>
      <c r="Y1" s="4"/>
      <c r="Z1" s="4"/>
    </row>
    <row r="2" ht="15.75" customHeight="1">
      <c r="A2" s="5" t="s">
        <v>18</v>
      </c>
      <c r="B2" s="5" t="s">
        <v>19</v>
      </c>
      <c r="C2" s="5" t="s">
        <v>20</v>
      </c>
      <c r="D2" s="6">
        <v>0.08530092592592593</v>
      </c>
      <c r="E2" s="5" t="s">
        <v>21</v>
      </c>
      <c r="F2" s="5" t="s">
        <v>22</v>
      </c>
      <c r="G2" s="7"/>
      <c r="H2" s="5" t="s">
        <v>23</v>
      </c>
      <c r="I2" s="5" t="s">
        <v>24</v>
      </c>
      <c r="J2" s="5" t="s">
        <v>25</v>
      </c>
      <c r="K2" s="5" t="s">
        <v>26</v>
      </c>
      <c r="L2" s="5" t="s">
        <v>27</v>
      </c>
      <c r="M2" s="8">
        <v>0.5</v>
      </c>
      <c r="N2" s="8" t="b">
        <v>0</v>
      </c>
      <c r="O2" s="9">
        <v>46155.42412037037</v>
      </c>
      <c r="P2" s="10" t="s">
        <v>28</v>
      </c>
      <c r="Q2" s="11">
        <v>46155.427777777775</v>
      </c>
      <c r="R2" s="10" t="s">
        <v>29</v>
      </c>
    </row>
    <row r="3" ht="15.75" customHeight="1">
      <c r="A3" s="5"/>
      <c r="B3" s="5"/>
      <c r="C3" s="5"/>
      <c r="D3" s="6"/>
      <c r="E3" s="5"/>
      <c r="F3" s="5"/>
      <c r="G3" s="7"/>
      <c r="H3" s="5"/>
      <c r="I3" s="5"/>
      <c r="J3" s="5"/>
      <c r="K3" s="5"/>
      <c r="L3" s="5"/>
      <c r="M3" s="8"/>
      <c r="N3" s="8"/>
      <c r="O3" s="9"/>
      <c r="Q3" s="11"/>
    </row>
    <row r="4" ht="15.75" customHeight="1">
      <c r="A4" s="5"/>
      <c r="B4" s="5"/>
      <c r="C4" s="5"/>
      <c r="D4" s="6"/>
      <c r="E4" s="5"/>
      <c r="F4" s="5"/>
      <c r="G4" s="7"/>
      <c r="H4" s="5"/>
      <c r="I4" s="5"/>
      <c r="J4" s="5"/>
      <c r="K4" s="5"/>
      <c r="L4" s="5"/>
      <c r="M4" s="8"/>
      <c r="N4" s="8"/>
      <c r="O4" s="9"/>
      <c r="Q4" s="11"/>
    </row>
    <row r="5" ht="15.75" customHeight="1">
      <c r="A5" s="5"/>
      <c r="B5" s="5"/>
      <c r="C5" s="5"/>
      <c r="D5" s="6"/>
      <c r="E5" s="5"/>
      <c r="F5" s="5"/>
      <c r="G5" s="7"/>
      <c r="H5" s="5"/>
      <c r="I5" s="5"/>
      <c r="J5" s="5"/>
      <c r="K5" s="5"/>
      <c r="L5" s="5"/>
      <c r="M5" s="8"/>
      <c r="N5" s="8"/>
      <c r="O5" s="9"/>
      <c r="Q5" s="11"/>
    </row>
    <row r="6" ht="15.75" customHeight="1">
      <c r="A6" s="5"/>
      <c r="B6" s="5"/>
      <c r="C6" s="5"/>
      <c r="D6" s="6"/>
      <c r="E6" s="5"/>
      <c r="F6" s="5"/>
      <c r="G6" s="7"/>
      <c r="H6" s="5"/>
      <c r="I6" s="5"/>
      <c r="J6" s="5"/>
      <c r="K6" s="5"/>
      <c r="L6" s="5"/>
      <c r="M6" s="8"/>
      <c r="N6" s="8"/>
      <c r="O6" s="9"/>
    </row>
    <row r="7" ht="15.75" customHeight="1">
      <c r="A7" s="5"/>
      <c r="B7" s="5"/>
      <c r="C7" s="5"/>
      <c r="D7" s="6"/>
      <c r="E7" s="5"/>
      <c r="F7" s="5"/>
      <c r="G7" s="7"/>
      <c r="H7" s="5"/>
      <c r="I7" s="5"/>
      <c r="J7" s="5"/>
      <c r="K7" s="5"/>
      <c r="L7" s="5"/>
      <c r="M7" s="8"/>
      <c r="N7" s="8"/>
      <c r="O7" s="9"/>
    </row>
    <row r="8" ht="15.75" customHeight="1">
      <c r="A8" s="5"/>
      <c r="B8" s="5"/>
      <c r="C8" s="5"/>
      <c r="D8" s="6"/>
      <c r="E8" s="5"/>
      <c r="F8" s="5"/>
      <c r="G8" s="7"/>
      <c r="H8" s="5"/>
      <c r="I8" s="5"/>
      <c r="J8" s="5"/>
      <c r="K8" s="5"/>
      <c r="L8" s="5"/>
      <c r="M8" s="8"/>
      <c r="N8" s="8"/>
      <c r="O8" s="9"/>
    </row>
    <row r="9" ht="15.75" customHeight="1"/>
    <row r="10" ht="15.75" customHeight="1">
      <c r="C10" s="7"/>
      <c r="E10" s="7"/>
      <c r="F10" s="7"/>
      <c r="G10" s="7"/>
      <c r="H10" s="7"/>
      <c r="I10" s="7"/>
      <c r="J10" s="7"/>
      <c r="K10" s="7"/>
      <c r="L10" s="7"/>
      <c r="M10" s="7"/>
      <c r="N10" s="7"/>
      <c r="O10" s="7"/>
    </row>
    <row r="11" ht="15.75" customHeight="1">
      <c r="A11" s="7"/>
      <c r="B11" s="7"/>
      <c r="C11" s="7"/>
      <c r="E11" s="7"/>
      <c r="F11" s="7"/>
      <c r="G11" s="7"/>
      <c r="H11" s="7"/>
      <c r="I11" s="7"/>
      <c r="J11" s="7"/>
      <c r="K11" s="7"/>
      <c r="L11" s="7"/>
      <c r="M11" s="7"/>
      <c r="N11" s="7"/>
      <c r="O11" s="7"/>
    </row>
    <row r="12" ht="15.75" customHeight="1">
      <c r="A12" s="7"/>
      <c r="B12" s="7"/>
      <c r="C12" s="7"/>
      <c r="E12" s="7"/>
      <c r="F12" s="7"/>
      <c r="G12" s="7"/>
      <c r="H12" s="7"/>
      <c r="I12" s="7"/>
      <c r="J12" s="7"/>
      <c r="K12" s="7"/>
      <c r="L12" s="7"/>
      <c r="M12" s="7"/>
      <c r="N12" s="7"/>
      <c r="O12" s="7"/>
    </row>
    <row r="13" ht="15.75" customHeight="1">
      <c r="A13" s="7"/>
      <c r="B13" s="7"/>
      <c r="C13" s="7"/>
      <c r="E13" s="7"/>
      <c r="F13" s="7"/>
      <c r="G13" s="7"/>
      <c r="H13" s="7"/>
      <c r="I13" s="7"/>
      <c r="J13" s="7"/>
      <c r="K13" s="7"/>
      <c r="L13" s="7"/>
      <c r="M13" s="7"/>
      <c r="N13" s="7"/>
      <c r="O13" s="7"/>
    </row>
    <row r="14" ht="15.75" customHeight="1">
      <c r="A14" s="7"/>
      <c r="B14" s="7"/>
      <c r="C14" s="7"/>
      <c r="E14" s="7"/>
      <c r="F14" s="7"/>
      <c r="G14" s="7"/>
      <c r="H14" s="7"/>
      <c r="I14" s="7"/>
      <c r="J14" s="7"/>
      <c r="K14" s="7"/>
      <c r="L14" s="7"/>
      <c r="M14" s="7"/>
      <c r="N14" s="7"/>
      <c r="O14" s="7"/>
    </row>
    <row r="15" ht="15.75" customHeight="1">
      <c r="A15" s="7"/>
      <c r="B15" s="7"/>
      <c r="C15" s="7"/>
      <c r="E15" s="7"/>
      <c r="F15" s="7"/>
      <c r="G15" s="7"/>
      <c r="H15" s="7"/>
      <c r="I15" s="7"/>
      <c r="J15" s="7"/>
      <c r="K15" s="7"/>
      <c r="L15" s="7"/>
      <c r="M15" s="7"/>
      <c r="N15" s="7"/>
      <c r="O15" s="7"/>
    </row>
    <row r="16" ht="15.75" customHeight="1">
      <c r="A16" s="7"/>
      <c r="B16" s="7"/>
      <c r="C16" s="7"/>
      <c r="E16" s="7"/>
      <c r="F16" s="7"/>
      <c r="G16" s="7"/>
      <c r="H16" s="7"/>
      <c r="I16" s="7"/>
      <c r="J16" s="7"/>
      <c r="K16" s="7"/>
      <c r="L16" s="7"/>
      <c r="M16" s="7"/>
      <c r="N16" s="7"/>
      <c r="O16" s="7"/>
    </row>
    <row r="17" ht="15.75" customHeight="1">
      <c r="A17" s="7"/>
      <c r="B17" s="7"/>
      <c r="C17" s="7"/>
      <c r="E17" s="7"/>
      <c r="F17" s="7"/>
      <c r="G17" s="7"/>
      <c r="H17" s="7"/>
      <c r="I17" s="7"/>
      <c r="J17" s="7"/>
      <c r="K17" s="7"/>
      <c r="L17" s="7"/>
      <c r="M17" s="7"/>
      <c r="N17" s="7"/>
      <c r="O17" s="7"/>
    </row>
    <row r="18" ht="15.75" customHeight="1">
      <c r="A18" s="7"/>
      <c r="B18" s="7"/>
      <c r="C18" s="7"/>
      <c r="E18" s="7"/>
      <c r="F18" s="7"/>
      <c r="G18" s="7"/>
      <c r="H18" s="7"/>
      <c r="I18" s="7"/>
      <c r="J18" s="7"/>
      <c r="K18" s="7"/>
      <c r="L18" s="7"/>
      <c r="M18" s="7"/>
      <c r="N18" s="7"/>
      <c r="O18" s="7"/>
    </row>
    <row r="19" ht="15.75" customHeight="1">
      <c r="A19" s="7"/>
      <c r="B19" s="7"/>
      <c r="C19" s="7"/>
      <c r="E19" s="7"/>
      <c r="F19" s="7"/>
      <c r="G19" s="7"/>
      <c r="H19" s="7"/>
      <c r="I19" s="7"/>
      <c r="J19" s="7"/>
      <c r="K19" s="7"/>
      <c r="L19" s="7"/>
      <c r="M19" s="7"/>
      <c r="N19" s="7"/>
      <c r="O19" s="7"/>
    </row>
    <row r="20" ht="15.75" customHeight="1">
      <c r="A20" s="7"/>
      <c r="B20" s="7"/>
      <c r="C20" s="7"/>
      <c r="E20" s="7"/>
      <c r="F20" s="7"/>
      <c r="G20" s="7"/>
      <c r="H20" s="7"/>
      <c r="I20" s="7"/>
      <c r="J20" s="7"/>
      <c r="K20" s="7"/>
      <c r="L20" s="7"/>
      <c r="M20" s="7"/>
      <c r="N20" s="7"/>
      <c r="O20" s="7"/>
    </row>
    <row r="21" ht="15.75" customHeight="1">
      <c r="A21" s="7"/>
      <c r="B21" s="7"/>
      <c r="C21" s="7"/>
      <c r="E21" s="7"/>
      <c r="F21" s="7"/>
      <c r="G21" s="7"/>
      <c r="H21" s="7"/>
      <c r="I21" s="7"/>
      <c r="J21" s="7"/>
      <c r="K21" s="7"/>
      <c r="L21" s="7"/>
      <c r="M21" s="7"/>
      <c r="N21" s="7"/>
      <c r="O21" s="7"/>
    </row>
    <row r="22" ht="15.75" customHeight="1">
      <c r="A22" s="7"/>
      <c r="B22" s="7"/>
      <c r="C22" s="7"/>
      <c r="E22" s="7"/>
      <c r="F22" s="7"/>
      <c r="G22" s="7"/>
      <c r="H22" s="7"/>
      <c r="I22" s="7"/>
      <c r="J22" s="7"/>
      <c r="K22" s="7"/>
      <c r="L22" s="7"/>
      <c r="M22" s="7"/>
      <c r="N22" s="7"/>
      <c r="O22" s="7"/>
    </row>
    <row r="23" ht="15.75" customHeight="1">
      <c r="A23" s="7"/>
      <c r="B23" s="7"/>
      <c r="C23" s="7"/>
      <c r="E23" s="7"/>
      <c r="F23" s="7"/>
      <c r="H23" s="7"/>
      <c r="I23" s="7"/>
      <c r="J23" s="7"/>
      <c r="K23" s="7"/>
      <c r="L23" s="7"/>
      <c r="M23" s="7"/>
      <c r="N23" s="7"/>
      <c r="O23" s="7"/>
    </row>
    <row r="24" ht="15.75" customHeight="1">
      <c r="A24" s="7"/>
      <c r="B24" s="7"/>
      <c r="C24" s="12"/>
      <c r="E24" s="7"/>
      <c r="F24" s="7"/>
      <c r="H24" s="7"/>
      <c r="I24" s="7"/>
      <c r="J24" s="7"/>
      <c r="K24" s="7"/>
      <c r="L24" s="7"/>
      <c r="M24" s="7"/>
      <c r="N24" s="7"/>
      <c r="O24" s="7"/>
    </row>
    <row r="25" ht="15.75" customHeight="1">
      <c r="A25" s="7"/>
      <c r="B25" s="7"/>
      <c r="C25" s="12"/>
      <c r="E25" s="7"/>
      <c r="F25" s="7"/>
      <c r="G25" s="7"/>
      <c r="H25" s="7"/>
      <c r="I25" s="7"/>
      <c r="J25" s="7"/>
      <c r="K25" s="7"/>
      <c r="L25" s="7"/>
      <c r="M25" s="7"/>
      <c r="N25" s="7"/>
      <c r="O25" s="7"/>
    </row>
    <row r="26" ht="15.75" customHeight="1">
      <c r="A26" s="7"/>
      <c r="B26" s="7"/>
      <c r="C26" s="12"/>
      <c r="E26" s="7"/>
      <c r="F26" s="7"/>
      <c r="G26" s="7"/>
      <c r="H26" s="7"/>
      <c r="I26" s="7"/>
      <c r="J26" s="7"/>
      <c r="K26" s="7"/>
      <c r="L26" s="7"/>
      <c r="M26" s="7"/>
      <c r="N26" s="7"/>
      <c r="O26" s="7"/>
    </row>
    <row r="27" ht="15.75" customHeight="1">
      <c r="A27" s="7"/>
      <c r="B27" s="7"/>
      <c r="C27" s="12"/>
      <c r="E27" s="7"/>
      <c r="F27" s="7"/>
      <c r="G27" s="7"/>
      <c r="H27" s="7"/>
      <c r="I27" s="7"/>
      <c r="J27" s="7"/>
      <c r="K27" s="7"/>
      <c r="L27" s="7"/>
      <c r="M27" s="7"/>
      <c r="N27" s="7"/>
      <c r="O27" s="7"/>
    </row>
    <row r="28" ht="15.75" customHeight="1">
      <c r="A28" s="7"/>
      <c r="B28" s="7"/>
      <c r="C28" s="12"/>
      <c r="E28" s="7"/>
      <c r="F28" s="7"/>
      <c r="G28" s="7"/>
      <c r="H28" s="7"/>
      <c r="I28" s="7"/>
      <c r="J28" s="7"/>
      <c r="K28" s="7"/>
      <c r="L28" s="7"/>
      <c r="M28" s="7"/>
      <c r="N28" s="7"/>
      <c r="O28" s="7"/>
    </row>
    <row r="29" ht="15.75" customHeight="1">
      <c r="A29" s="7"/>
      <c r="B29" s="7"/>
      <c r="C29" s="12"/>
      <c r="E29" s="7"/>
      <c r="F29" s="7"/>
      <c r="G29" s="7"/>
      <c r="H29" s="7"/>
      <c r="I29" s="7"/>
      <c r="J29" s="7"/>
      <c r="K29" s="7"/>
      <c r="L29" s="7"/>
      <c r="M29" s="7"/>
      <c r="N29" s="7"/>
      <c r="O29" s="7"/>
    </row>
    <row r="30" ht="15.75" customHeight="1">
      <c r="A30" s="7"/>
      <c r="B30" s="7"/>
      <c r="C30" s="12"/>
      <c r="E30" s="7"/>
      <c r="F30" s="7"/>
      <c r="G30" s="7"/>
      <c r="H30" s="7"/>
      <c r="I30" s="7"/>
      <c r="J30" s="7"/>
      <c r="K30" s="7"/>
      <c r="L30" s="7"/>
      <c r="M30" s="7"/>
      <c r="N30" s="7"/>
      <c r="O30" s="7"/>
    </row>
    <row r="31" ht="15.75" customHeight="1">
      <c r="A31" s="7"/>
      <c r="B31" s="7"/>
      <c r="C31" s="12"/>
      <c r="E31" s="7"/>
      <c r="F31" s="7"/>
      <c r="G31" s="7"/>
      <c r="H31" s="7"/>
      <c r="I31" s="7"/>
      <c r="J31" s="7"/>
      <c r="K31" s="7"/>
      <c r="L31" s="7"/>
      <c r="M31" s="7"/>
      <c r="N31" s="7"/>
      <c r="O31" s="7"/>
    </row>
    <row r="32" ht="15.75" customHeight="1">
      <c r="A32" s="7"/>
      <c r="B32" s="7"/>
      <c r="C32" s="12"/>
      <c r="E32" s="7"/>
      <c r="F32" s="7"/>
      <c r="G32" s="7"/>
      <c r="H32" s="7"/>
      <c r="I32" s="7"/>
      <c r="J32" s="7"/>
      <c r="K32" s="7"/>
      <c r="L32" s="7"/>
      <c r="M32" s="7"/>
      <c r="N32" s="7"/>
      <c r="O32" s="7"/>
    </row>
    <row r="33" ht="15.75" customHeight="1">
      <c r="A33" s="7"/>
      <c r="B33" s="7"/>
      <c r="C33" s="12"/>
      <c r="E33" s="7"/>
      <c r="F33" s="7"/>
      <c r="G33" s="7"/>
      <c r="H33" s="7"/>
      <c r="I33" s="7"/>
      <c r="J33" s="7"/>
      <c r="K33" s="7"/>
      <c r="L33" s="7"/>
      <c r="M33" s="7"/>
      <c r="N33" s="7"/>
      <c r="O33" s="7"/>
    </row>
    <row r="34" ht="15.75" customHeight="1">
      <c r="A34" s="7"/>
      <c r="B34" s="7"/>
      <c r="C34" s="12"/>
      <c r="E34" s="7"/>
      <c r="F34" s="7"/>
      <c r="G34" s="7"/>
      <c r="H34" s="7"/>
      <c r="I34" s="7"/>
      <c r="J34" s="7"/>
      <c r="K34" s="7"/>
      <c r="L34" s="7"/>
      <c r="M34" s="7"/>
      <c r="N34" s="7"/>
      <c r="O34" s="7"/>
    </row>
    <row r="35" ht="15.75" customHeight="1">
      <c r="A35" s="7"/>
      <c r="B35" s="7"/>
      <c r="C35" s="12"/>
      <c r="E35" s="7"/>
      <c r="F35" s="7"/>
      <c r="G35" s="7"/>
      <c r="H35" s="7"/>
      <c r="I35" s="7"/>
      <c r="J35" s="7"/>
      <c r="K35" s="7"/>
      <c r="L35" s="7"/>
      <c r="M35" s="7"/>
      <c r="N35" s="7"/>
      <c r="O35" s="7"/>
    </row>
    <row r="36" ht="15.75" customHeight="1">
      <c r="A36" s="7"/>
      <c r="B36" s="7"/>
      <c r="C36" s="12"/>
      <c r="E36" s="7"/>
      <c r="F36" s="7"/>
      <c r="G36" s="7"/>
      <c r="H36" s="7"/>
      <c r="I36" s="7"/>
      <c r="J36" s="7"/>
      <c r="K36" s="7"/>
      <c r="L36" s="7"/>
      <c r="M36" s="7"/>
      <c r="N36" s="7"/>
      <c r="O36" s="7"/>
    </row>
    <row r="37" ht="15.75" customHeight="1">
      <c r="A37" s="7"/>
      <c r="B37" s="7"/>
      <c r="C37" s="12"/>
      <c r="E37" s="7"/>
      <c r="F37" s="7"/>
      <c r="H37" s="7"/>
      <c r="I37" s="7"/>
      <c r="J37" s="7"/>
      <c r="K37" s="7"/>
      <c r="L37" s="7"/>
      <c r="M37" s="7"/>
      <c r="N37" s="7"/>
      <c r="O37" s="7"/>
    </row>
    <row r="38" ht="15.75" customHeight="1">
      <c r="A38" s="7"/>
      <c r="B38" s="7"/>
      <c r="C38" s="12"/>
      <c r="E38" s="7"/>
      <c r="F38" s="7"/>
      <c r="H38" s="7"/>
      <c r="I38" s="7"/>
      <c r="J38" s="7"/>
      <c r="K38" s="7"/>
      <c r="L38" s="7"/>
      <c r="M38" s="7"/>
      <c r="N38" s="7"/>
      <c r="O38" s="7"/>
    </row>
    <row r="39" ht="15.75" customHeight="1">
      <c r="A39" s="7"/>
      <c r="B39" s="7"/>
      <c r="C39" s="12"/>
      <c r="E39" s="7"/>
      <c r="F39" s="7"/>
      <c r="H39" s="7"/>
      <c r="I39" s="7"/>
      <c r="J39" s="7"/>
      <c r="K39" s="7"/>
      <c r="L39" s="7"/>
      <c r="M39" s="7"/>
      <c r="N39" s="7"/>
      <c r="O39" s="7"/>
    </row>
    <row r="40" ht="15.75" customHeight="1">
      <c r="A40" s="7"/>
      <c r="B40" s="7"/>
      <c r="C40" s="12"/>
      <c r="D40" s="13"/>
      <c r="E40" s="7"/>
      <c r="F40" s="7"/>
      <c r="H40" s="7"/>
      <c r="I40" s="7"/>
      <c r="J40" s="7"/>
      <c r="K40" s="7"/>
      <c r="L40" s="7"/>
      <c r="M40" s="7"/>
      <c r="N40" s="7"/>
      <c r="O40" s="7"/>
    </row>
    <row r="41" ht="15.75" customHeight="1">
      <c r="A41" s="7"/>
      <c r="B41" s="7"/>
      <c r="C41" s="12"/>
      <c r="D41" s="13"/>
      <c r="E41" s="7"/>
      <c r="F41" s="7"/>
      <c r="G41" s="7"/>
      <c r="H41" s="7"/>
      <c r="I41" s="7"/>
      <c r="J41" s="7"/>
      <c r="K41" s="7"/>
      <c r="L41" s="7"/>
      <c r="M41" s="7"/>
      <c r="N41" s="7"/>
      <c r="O41" s="7"/>
    </row>
    <row r="42" ht="15.75" customHeight="1">
      <c r="C42" s="14"/>
      <c r="D42" s="6"/>
      <c r="O42" s="15"/>
    </row>
    <row r="43" ht="15.75" customHeight="1">
      <c r="C43" s="14"/>
      <c r="D43" s="6"/>
      <c r="O43" s="15"/>
    </row>
    <row r="44" ht="15.75" customHeight="1">
      <c r="C44" s="14"/>
      <c r="D44" s="6"/>
      <c r="O44" s="15"/>
    </row>
    <row r="45" ht="15.75" customHeight="1">
      <c r="C45" s="14"/>
      <c r="D45" s="6"/>
      <c r="O45" s="15"/>
    </row>
    <row r="46" ht="15.75" customHeight="1">
      <c r="D46" s="6"/>
      <c r="O46" s="15"/>
    </row>
    <row r="47" ht="15.75" customHeight="1">
      <c r="D47" s="6"/>
    </row>
    <row r="48" ht="15.75" customHeight="1"/>
    <row r="49" ht="15.75" customHeight="1">
      <c r="O49" s="11"/>
    </row>
    <row r="50" ht="15.75" customHeight="1">
      <c r="O50" s="11"/>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9" width="15.71"/>
  </cols>
  <sheetData>
    <row r="1" ht="15.75" customHeight="1"/>
    <row r="2" ht="39.75" customHeight="1">
      <c r="B2" s="16" t="s">
        <v>30</v>
      </c>
      <c r="H2" s="17" t="s">
        <v>31</v>
      </c>
      <c r="I2" s="18" t="s">
        <v>32</v>
      </c>
    </row>
    <row r="3" ht="13.5" customHeight="1">
      <c r="H3" s="19" t="s">
        <v>33</v>
      </c>
    </row>
    <row r="4" ht="15.75" customHeight="1"/>
    <row r="5" ht="19.5" customHeight="1">
      <c r="B5" s="17" t="s">
        <v>34</v>
      </c>
      <c r="D5" s="17" t="s">
        <v>35</v>
      </c>
      <c r="F5" s="17" t="s">
        <v>36</v>
      </c>
      <c r="H5" s="17"/>
    </row>
    <row r="6" ht="60.0" customHeight="1">
      <c r="B6" s="20">
        <f>COUNTA(Raw_Data!$A:$A)</f>
        <v>2</v>
      </c>
      <c r="D6" s="20">
        <f>COUNTIF(Raw_Data!$J:$J, "SPAM_DO_NOT_RESPOND")</f>
        <v>0</v>
      </c>
      <c r="F6" s="20">
        <f>COUNTIF(Raw_Data!$N:$N, 1)</f>
        <v>0</v>
      </c>
      <c r="H6" s="21"/>
    </row>
    <row r="7" ht="15.75" customHeight="1"/>
    <row r="8" ht="13.5" customHeight="1">
      <c r="B8" s="22" t="s">
        <v>37</v>
      </c>
      <c r="F8" s="22" t="s">
        <v>38</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3.5" customHeight="1"/>
    <row r="22" ht="13.5" customHeight="1"/>
    <row r="23" ht="13.5" customHeight="1">
      <c r="B23" s="22" t="s">
        <v>39</v>
      </c>
      <c r="F23" s="22" t="s">
        <v>40</v>
      </c>
    </row>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I2">
      <formula1>"All Time,Today,This Week,This Month"</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ht="15.75" customHeight="1">
      <c r="A1" s="7" t="s">
        <v>41</v>
      </c>
      <c r="B1" s="7" t="s">
        <v>42</v>
      </c>
      <c r="D1" s="7" t="s">
        <v>43</v>
      </c>
      <c r="E1" s="7" t="s">
        <v>42</v>
      </c>
      <c r="G1" s="7" t="s">
        <v>44</v>
      </c>
      <c r="H1" s="7" t="s">
        <v>42</v>
      </c>
      <c r="K1" s="7" t="s">
        <v>45</v>
      </c>
      <c r="L1" s="7" t="str">
        <f>'Dashboard (1)'!$I$2</f>
        <v>This Week</v>
      </c>
      <c r="N1" s="7" t="s">
        <v>46</v>
      </c>
      <c r="O1" s="7" t="s">
        <v>42</v>
      </c>
    </row>
    <row r="2" ht="15.75" customHeight="1">
      <c r="A2" s="7" t="s">
        <v>26</v>
      </c>
      <c r="B2" s="7">
        <f>COUNTIF(Raw_Data!$K:$K,"LOW")</f>
        <v>1</v>
      </c>
      <c r="D2" s="7" t="s">
        <v>25</v>
      </c>
      <c r="E2" s="7">
        <f>COUNTIF(Raw_Data!$J:$J,"OTHER")</f>
        <v>1</v>
      </c>
      <c r="G2" s="7" t="s">
        <v>27</v>
      </c>
      <c r="H2" s="7">
        <f>COUNTIF(Raw_Data!$L:$L,"NEUTRAL")</f>
        <v>1</v>
      </c>
      <c r="K2" s="7" t="s">
        <v>47</v>
      </c>
      <c r="L2" s="23">
        <f>IF(L1="Today", TODAY(), IF(L1="This Week", TODAY()-WEEKDAY(TODAY(),2)+1, IF(L1="This Month", EOMONTH(TODAY(),-1)+1, DATE(2000,1,1))))</f>
        <v>46153</v>
      </c>
      <c r="N2" s="7" t="s">
        <v>48</v>
      </c>
      <c r="O2" s="7">
        <f>COUNTIF(Raw_Data!$C:$C, N2)</f>
        <v>0</v>
      </c>
    </row>
    <row r="3" ht="15.75" customHeight="1">
      <c r="A3" s="7" t="s">
        <v>49</v>
      </c>
      <c r="B3" s="7">
        <f>COUNTIF(Raw_Data!$K:$K,"MEDIUM")</f>
        <v>0</v>
      </c>
      <c r="D3" s="7" t="s">
        <v>50</v>
      </c>
      <c r="E3" s="7">
        <f>COUNTIF(Raw_Data!$J:$J,"SPAM_DO_NOT_RESPOND")</f>
        <v>0</v>
      </c>
      <c r="G3" s="7" t="s">
        <v>51</v>
      </c>
      <c r="H3" s="7">
        <f>COUNTIF(Raw_Data!$L:$L,"ANGRY")</f>
        <v>0</v>
      </c>
      <c r="K3" s="7" t="s">
        <v>52</v>
      </c>
      <c r="L3" s="23">
        <f>TODAY()</f>
        <v>46155</v>
      </c>
      <c r="N3" s="7" t="s">
        <v>53</v>
      </c>
      <c r="O3" s="7">
        <f>COUNTIF(Raw_Data!$C:$C, N3)</f>
        <v>0</v>
      </c>
    </row>
    <row r="4" ht="15.75" customHeight="1">
      <c r="A4" s="7" t="s">
        <v>54</v>
      </c>
      <c r="B4" s="7">
        <f>COUNTIF(Raw_Data!$K:$K,"UNKNOWN")</f>
        <v>0</v>
      </c>
      <c r="D4" s="7" t="s">
        <v>55</v>
      </c>
      <c r="E4" s="7">
        <f>COUNTIF(Raw_Data!$J:$J,"LOYALTY_POINTS")</f>
        <v>0</v>
      </c>
      <c r="G4" s="7" t="s">
        <v>56</v>
      </c>
      <c r="H4" s="7">
        <f>COUNTIF(Raw_Data!$L:$L,"HAPPY")</f>
        <v>0</v>
      </c>
      <c r="N4" s="7" t="s">
        <v>57</v>
      </c>
      <c r="O4" s="7">
        <f>COUNTIF(Raw_Data!$C:$C, N4)</f>
        <v>0</v>
      </c>
    </row>
    <row r="5" ht="15.75" customHeight="1">
      <c r="A5" s="7" t="s">
        <v>58</v>
      </c>
      <c r="B5" s="7">
        <f>COUNTIF(Raw_Data!$K:$K,"HIGH")</f>
        <v>0</v>
      </c>
      <c r="D5" s="7" t="s">
        <v>59</v>
      </c>
      <c r="E5" s="7">
        <f>COUNTIF(Raw_Data!$J:$J,"PRODUCT_QUESTION")</f>
        <v>0</v>
      </c>
      <c r="K5" s="7" t="s">
        <v>34</v>
      </c>
      <c r="L5" s="7">
        <f>COUNTIFS(#REF!, "&gt;=" &amp; $L$2,#REF!, "&lt;=" &amp; $L$3)</f>
        <v>0</v>
      </c>
      <c r="N5" s="7" t="s">
        <v>60</v>
      </c>
      <c r="O5" s="7">
        <f>COUNTIF(Raw_Data!$C:$C, N5)</f>
        <v>0</v>
      </c>
    </row>
    <row r="6" ht="15.75" customHeight="1">
      <c r="D6" s="7" t="s">
        <v>61</v>
      </c>
      <c r="E6" s="7">
        <f>COUNTIF(Raw_Data!$J:$J,"CUSTOMER_COMPLAINT")</f>
        <v>0</v>
      </c>
      <c r="K6" s="7" t="s">
        <v>35</v>
      </c>
      <c r="L6" s="7">
        <f>COUNTIFS(#REF!, "SPAM_DO_NOT_RESPOND",#REF!, "&gt;=" &amp; $L$2,#REF!, "&lt;=" &amp; $L$3)</f>
        <v>0</v>
      </c>
      <c r="N6" s="7" t="s">
        <v>62</v>
      </c>
      <c r="O6" s="7">
        <f>COUNTIF(Raw_Data!$C:$C, N6)</f>
        <v>0</v>
      </c>
    </row>
    <row r="7" ht="15.75" customHeight="1">
      <c r="D7" s="7" t="s">
        <v>63</v>
      </c>
      <c r="E7" s="7">
        <f>COUNTIF(Raw_Data!$J:$J,"CUSTOMER_SATISFACTION")</f>
        <v>0</v>
      </c>
      <c r="K7" s="7" t="s">
        <v>36</v>
      </c>
      <c r="L7" s="7">
        <f>COUNTIFS(#REF!, TRUE,#REF!, "&gt;=" &amp; $L$2,#REF!, "&lt;=" &amp; $L$3)</f>
        <v>0</v>
      </c>
      <c r="N7" s="7" t="s">
        <v>64</v>
      </c>
      <c r="O7" s="7">
        <f>COUNTIF(Raw_Data!$C:$C, N7)</f>
        <v>0</v>
      </c>
    </row>
    <row r="8" ht="15.75" customHeight="1">
      <c r="K8" s="7" t="s">
        <v>65</v>
      </c>
      <c r="L8" s="7">
        <f>IFERROR(AVERAGEIFS(#REF!,#REF!, "&gt;=" &amp; $L$2,#REF!, "&lt;=" &amp; $L$3), 0)</f>
        <v>0</v>
      </c>
      <c r="N8" s="7" t="s">
        <v>66</v>
      </c>
      <c r="O8" s="7">
        <f>COUNTIF(Raw_Data!$C:$C, N8)</f>
        <v>0</v>
      </c>
    </row>
    <row r="9" ht="15.75" customHeight="1">
      <c r="N9" s="7" t="s">
        <v>67</v>
      </c>
      <c r="O9" s="7">
        <f>COUNTIF(Raw_Data!$C:$C, N9)</f>
        <v>0</v>
      </c>
    </row>
    <row r="10" ht="15.75" customHeight="1">
      <c r="N10" s="7" t="s">
        <v>68</v>
      </c>
      <c r="O10" s="7">
        <f>COUNTIF(Raw_Data!$C:$C, N10)</f>
        <v>0</v>
      </c>
    </row>
    <row r="11" ht="15.75" customHeight="1">
      <c r="N11" s="7" t="s">
        <v>69</v>
      </c>
      <c r="O11" s="7">
        <f>COUNTIF(Raw_Data!$C:$C, N11)</f>
        <v>0</v>
      </c>
    </row>
    <row r="12" ht="15.75" customHeight="1">
      <c r="N12" s="7" t="s">
        <v>70</v>
      </c>
      <c r="O12" s="7">
        <f>COUNTIF(Raw_Data!$C:$C, N12)</f>
        <v>0</v>
      </c>
    </row>
    <row r="13" ht="15.75" customHeight="1">
      <c r="N13" s="7" t="s">
        <v>71</v>
      </c>
      <c r="O13" s="7">
        <f>COUNTIF(Raw_Data!$C:$C, N13)</f>
        <v>0</v>
      </c>
    </row>
    <row r="14" ht="15.75" customHeight="1">
      <c r="N14" s="7" t="s">
        <v>72</v>
      </c>
      <c r="O14" s="7">
        <f>COUNTIF(Raw_Data!$C:$C, N14)</f>
        <v>0</v>
      </c>
    </row>
    <row r="15" ht="15.75" customHeight="1">
      <c r="N15" s="7" t="s">
        <v>73</v>
      </c>
      <c r="O15" s="7">
        <f>COUNTIF(Raw_Data!$C:$C, N15)</f>
        <v>0</v>
      </c>
    </row>
    <row r="16" ht="15.75" customHeight="1">
      <c r="N16" s="7" t="s">
        <v>74</v>
      </c>
      <c r="O16" s="7">
        <f>COUNTIF(Raw_Data!$C:$C, N16)</f>
        <v>0</v>
      </c>
    </row>
    <row r="17" ht="15.75" customHeight="1">
      <c r="N17" s="7" t="s">
        <v>75</v>
      </c>
      <c r="O17" s="7">
        <f>COUNTIF(Raw_Data!$C:$C, N17)</f>
        <v>0</v>
      </c>
    </row>
    <row r="18" ht="15.75" customHeight="1">
      <c r="N18" s="7" t="s">
        <v>76</v>
      </c>
      <c r="O18" s="7">
        <f>COUNTIF(Raw_Data!$C:$C, N18)</f>
        <v>0</v>
      </c>
    </row>
    <row r="19" ht="15.75" customHeight="1">
      <c r="N19" s="7" t="s">
        <v>77</v>
      </c>
      <c r="O19" s="7">
        <f>COUNTIF(Raw_Data!$C:$C, N19)</f>
        <v>0</v>
      </c>
    </row>
    <row r="20" ht="15.75" customHeight="1">
      <c r="N20" s="7" t="s">
        <v>78</v>
      </c>
      <c r="O20" s="7">
        <f>COUNTIF(Raw_Data!$C:$C, N20)</f>
        <v>0</v>
      </c>
    </row>
    <row r="21" ht="15.75" customHeight="1">
      <c r="N21" s="7" t="s">
        <v>79</v>
      </c>
      <c r="O21" s="7">
        <f>COUNTIF(Raw_Data!$C:$C, N21)</f>
        <v>0</v>
      </c>
    </row>
    <row r="22" ht="15.75" customHeight="1">
      <c r="N22" s="7" t="s">
        <v>80</v>
      </c>
      <c r="O22" s="7">
        <f>COUNTIF(Raw_Data!$C:$C, N22)</f>
        <v>0</v>
      </c>
    </row>
    <row r="23" ht="15.75" customHeight="1">
      <c r="N23" s="7" t="s">
        <v>81</v>
      </c>
      <c r="O23" s="7">
        <f>COUNTIF(Raw_Data!$C:$C, N23)</f>
        <v>0</v>
      </c>
    </row>
    <row r="24" ht="15.75" customHeight="1">
      <c r="N24" s="7" t="s">
        <v>82</v>
      </c>
      <c r="O24" s="7">
        <f>COUNTIF(Raw_Data!$C:$C, N24)</f>
        <v>0</v>
      </c>
    </row>
    <row r="25" ht="15.75" customHeight="1">
      <c r="N25" s="7" t="s">
        <v>83</v>
      </c>
      <c r="O25" s="7">
        <f>COUNTIF(Raw_Data!$C:$C, N25)</f>
        <v>0</v>
      </c>
    </row>
    <row r="26" ht="15.75" customHeight="1">
      <c r="N26" s="7" t="s">
        <v>84</v>
      </c>
      <c r="O26" s="7">
        <f>COUNTIF(Raw_Data!$C:$C, N26)</f>
        <v>0</v>
      </c>
    </row>
    <row r="27" ht="15.75" customHeight="1">
      <c r="N27" s="7" t="s">
        <v>85</v>
      </c>
      <c r="O27" s="7">
        <f>COUNTIF(Raw_Data!$C:$C, N27)</f>
        <v>0</v>
      </c>
    </row>
    <row r="28" ht="15.75" customHeight="1">
      <c r="N28" s="7" t="s">
        <v>86</v>
      </c>
      <c r="O28" s="7">
        <f>COUNTIF(Raw_Data!$C:$C, N28)</f>
        <v>0</v>
      </c>
    </row>
    <row r="29" ht="15.75" customHeight="1">
      <c r="N29" s="7" t="s">
        <v>87</v>
      </c>
      <c r="O29" s="7">
        <f>COUNTIF(Raw_Data!$C:$C, N29)</f>
        <v>0</v>
      </c>
    </row>
    <row r="30" ht="15.75" customHeight="1">
      <c r="N30" s="7" t="s">
        <v>88</v>
      </c>
      <c r="O30" s="7">
        <f>COUNTIF(Raw_Data!$C:$C, N30)</f>
        <v>0</v>
      </c>
    </row>
    <row r="31" ht="15.75" customHeight="1">
      <c r="N31" s="7" t="s">
        <v>89</v>
      </c>
      <c r="O31" s="7">
        <f>COUNTIF(Raw_Data!$C:$C, N31)</f>
        <v>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